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5E52D096-EE13-487D-A14E-3D5FB2CB7171}" xr6:coauthVersionLast="47" xr6:coauthVersionMax="47" xr10:uidLastSave="{00000000-0000-0000-0000-000000000000}"/>
  <bookViews>
    <workbookView xWindow="6540" yWindow="75" windowWidth="17925" windowHeight="12420" xr2:uid="{782EC6A3-DC73-462C-A474-EA365B4C25B1}"/>
  </bookViews>
  <sheets>
    <sheet name="表紙" sheetId="1" r:id="rId1"/>
    <sheet name="ティック" sheetId="2" r:id="rId2"/>
    <sheet name="１分足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10" i="1" a="1"/>
  <c r="C15" i="1" a="1"/>
  <c r="B13" i="1" a="1"/>
  <c r="B14" i="1" a="1"/>
  <c r="B15" i="1" a="1"/>
  <c r="A6" i="1" l="1"/>
  <c r="A10" i="1"/>
  <c r="C15" i="1"/>
  <c r="B13" i="1"/>
  <c r="B14" i="1"/>
  <c r="B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<sst xmlns="http://schemas.openxmlformats.org/spreadsheetml/2006/main" count="65" uniqueCount="31">
  <si>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</si>
  <si>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</si>
  <si>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</si>
  <si>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</si>
  <si>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</si>
  <si>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</si>
  <si>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</si>
  <si>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</si>
  <si>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</si>
  <si>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</si>
  <si>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</si>
  <si>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</si>
  <si>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</si>
  <si>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</si>
  <si>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</si>
  <si>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r>
      <rPr>
        <sz val="11"/>
        <rFont val="游ゴシック"/>
        <family val="2"/>
        <charset val="128"/>
      </rPr>
      <t>２分足</t>
    </r>
    <phoneticPr fontId="1"/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</si>
  <si>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</si>
  <si>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rFont val="ＭＳ Ｐゴシック"/>
        <family val="3"/>
        <charset val="128"/>
      </rPr>
      <t>１分足</t>
    </r>
    <rPh sb="1" eb="3">
      <t>フンアシ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</si>
  <si>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</si>
  <si>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</si>
  <si>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</si>
  <si>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現在日付</t>
    <rPh sb="0" eb="2">
      <t>ゲンザイ</t>
    </rPh>
    <rPh sb="2" eb="4">
      <t>ヒヅケ</t>
    </rPh>
    <phoneticPr fontId="1"/>
  </si>
  <si>
    <t>三菱ＵＦＪフィナンシャルＧ</t>
  </si>
  <si>
    <t>東証</t>
  </si>
  <si>
    <t>1M</t>
  </si>
  <si>
    <t>2024/12/11</t>
  </si>
  <si>
    <t>15:30</t>
  </si>
  <si>
    <t>--------</t>
  </si>
  <si>
    <t>T</t>
  </si>
  <si>
    <t>T</t>
    <phoneticPr fontId="1"/>
  </si>
  <si>
    <t>15:30:00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</si>
</sst>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_);[Red]\(0.0\)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sz val="11"/>
      <name val="ＭＳ Ｐゴシック"/>
      <family val="3"/>
      <charset val="128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177" fontId="2" fillId="2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176" fontId="5" fillId="0" borderId="1" xfId="0" applyNumberFormat="1" applyFont="1" applyBorder="1">
      <alignment vertical="center"/>
    </xf>
    <xf numFmtId="0" fontId="0" fillId="0" borderId="0" xfId="0" quotePrefix="1">
      <alignment vertical="center"/>
    </xf>
    <xf numFmtId="177" fontId="0" fillId="0" borderId="0" xfId="0" quotePrefix="1" applyNumberForma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176" fontId="5" fillId="0" borderId="0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87d15b196cb4b3587206a74545415a7">
      <tp t="s">
        <v/>
        <stp/>
        <stp>Chart</stp>
        <stp>1942802185840,9,9,0,0</stp>
        <stp>8306</stp>
        <stp>1M</stp>
        <stp>1</stp>
        <tr r="A10" s="1"/>
      </tp>
    </main>
    <main first="rtdsrv.a87d15b196cb4b3587206a74545415a7">
      <tp t="s">
        <v>↑</v>
        <stp/>
        <stp>Market</stp>
        <stp>STOCK</stp>
        <stp>83060.T</stp>
        <stp>現在値ティック</stp>
        <tr r="C15" s="1"/>
      </tp>
      <tp t="s">
        <v/>
        <stp/>
        <stp>Chart</stp>
        <stp>1942802185840,5,5,0,0</stp>
        <stp>8306</stp>
        <stp>T</stp>
        <stp>1</stp>
        <tr r="A6" s="1"/>
      </tp>
      <tp t="s">
        <v>2024/12/11</v>
        <stp/>
        <stp>Market</stp>
        <stp>STOCK</stp>
        <stp>83060.T</stp>
        <stp>現在日付</stp>
        <tr r="B13" s="1"/>
      </tp>
      <tp>
        <v>1842</v>
        <stp/>
        <stp>Market</stp>
        <stp>STOCK</stp>
        <stp>83060.T</stp>
        <stp>現在値</stp>
        <tr r="B15" s="1"/>
      </tp>
    </main>
    <main first="rtdsrv.a87d15b196cb4b3587206a74545415a7">
      <tp t="s">
        <v>15:30:00</v>
        <stp/>
        <stp>Market</stp>
        <stp>STOCK</stp>
        <stp>83060.T</stp>
        <stp>現在値詳細時刻</stp>
        <tr r="B1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O15"/>
  <sheetViews>
    <sheetView tabSelected="1" zoomScaleNormal="100" workbookViewId="0">
      <selection activeCell="A21" sqref="A21"/>
    </sheetView>
  </sheetViews>
  <sheetFormatPr defaultRowHeight="15"/>
  <cols>
    <col min="1" max="1" width="15.375" style="5" bestFit="1" customWidth="1"/>
    <col min="2" max="2" width="11.625" style="3" bestFit="1" customWidth="1"/>
    <col min="3" max="3" width="2.5" style="5" bestFit="1" customWidth="1"/>
    <col min="4" max="16384" width="9" style="5"/>
  </cols>
  <sheetData>
    <row r="1" spans="1:15" ht="18.75">
      <c r="A1" s="5" t="s">
        <v>16</v>
      </c>
    </row>
    <row r="2" spans="1:15" ht="18">
      <c r="A2" s="1" t="s">
        <v>0</v>
      </c>
      <c r="B2" s="6" t="s">
        <v>1</v>
      </c>
    </row>
    <row r="3" spans="1:15" s="3" customFormat="1">
      <c r="A3" s="4" t="s">
        <v>17</v>
      </c>
    </row>
    <row r="4" spans="1:15" s="3" customFormat="1" ht="18">
      <c r="A4" s="1" t="s">
        <v>2</v>
      </c>
      <c r="B4" s="6" t="s">
        <v>29</v>
      </c>
    </row>
    <row r="5" spans="1:15" s="3" customFormat="1" ht="18">
      <c r="A5" s="1" t="s">
        <v>4</v>
      </c>
      <c r="B5" s="7">
        <v>1</v>
      </c>
    </row>
    <row r="6" spans="1:15" ht="18.75">
      <c r="A6" s="13" t="str" cm="1">
        <f t="array" ref="A6">_xll.RssChart(ティック!$A$1:$J$1, $B2, $B4, $B5)</f>
        <v>=RssChart(ティック!$A$1:$J$1, $B2, $B4, $B5) =&gt; 配信中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</row>
    <row r="7" spans="1:15" s="3" customFormat="1" ht="18.75">
      <c r="A7" s="4" t="s">
        <v>15</v>
      </c>
    </row>
    <row r="8" spans="1:15" s="3" customFormat="1" ht="18">
      <c r="A8" s="1" t="s">
        <v>2</v>
      </c>
      <c r="B8" s="6" t="s">
        <v>3</v>
      </c>
    </row>
    <row r="9" spans="1:15" s="3" customFormat="1" ht="18">
      <c r="A9" s="1" t="s">
        <v>4</v>
      </c>
      <c r="B9" s="7">
        <v>1</v>
      </c>
    </row>
    <row r="10" spans="1:15" ht="18.75">
      <c r="A10" s="13" t="str" cm="1">
        <f t="array" ref="A10">_xll.RssChart('１分足'!$A$1:$J$1, $B2, $B8, $B9)</f>
        <v>=RssChart('１分足'!$A$1:$J$1, $B2, $B8, $B9) =&gt; 配信中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</row>
    <row r="12" spans="1:15" ht="18.75">
      <c r="A12" s="5" t="s">
        <v>18</v>
      </c>
    </row>
    <row r="13" spans="1:15" ht="18">
      <c r="A13" s="15" t="s">
        <v>21</v>
      </c>
      <c r="B13" s="7" t="str" cm="1">
        <f t="array" ref="B13">_xll.RssMarket($B2, "現在日付")</f>
        <v>2024/12/11</v>
      </c>
    </row>
    <row r="14" spans="1:15" ht="18">
      <c r="A14" s="15" t="s">
        <v>20</v>
      </c>
      <c r="B14" s="17" t="str" cm="1">
        <f t="array" ref="B14">_xll.RssMarket($B2, "現在値詳細時刻")</f>
        <v>15:30:00</v>
      </c>
    </row>
    <row r="15" spans="1:15" ht="18">
      <c r="A15" s="16" t="s">
        <v>19</v>
      </c>
      <c r="B15" s="10" cm="1">
        <f t="array" ref="B15">_xll.RssMarket($B2, "現在値")</f>
        <v>1842</v>
      </c>
      <c r="C15" s="18" t="str" cm="1">
        <f t="array" ref="C15">_xll.RssMarket($B2, "現在値ティック")</f>
        <v>↑</v>
      </c>
    </row>
  </sheetData>
  <mergeCells count="2">
    <mergeCell ref="A6:O6"/>
    <mergeCell ref="A10:O10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J3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9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2" t="s">
        <v>14</v>
      </c>
    </row>
    <row r="2" spans="1:10">
      <c r="A2" t="s">
        <v>22</v>
      </c>
      <c r="B2" t="s">
        <v>23</v>
      </c>
      <c r="C2" t="s">
        <v>28</v>
      </c>
      <c r="D2" t="s">
        <v>25</v>
      </c>
      <c r="E2" t="s">
        <v>30</v>
      </c>
      <c r="I2" s="9">
        <v>1842</v>
      </c>
    </row>
    <row r="3" spans="1:10">
      <c r="A3" s="11" t="s">
        <v>27</v>
      </c>
      <c r="B3" s="11" t="s">
        <v>27</v>
      </c>
      <c r="C3" s="11" t="s">
        <v>27</v>
      </c>
      <c r="D3" s="11" t="s">
        <v>27</v>
      </c>
      <c r="E3" s="11" t="s">
        <v>27</v>
      </c>
      <c r="F3" s="12" t="s">
        <v>27</v>
      </c>
      <c r="G3" s="12" t="s">
        <v>27</v>
      </c>
      <c r="H3" s="12" t="s">
        <v>27</v>
      </c>
      <c r="I3" s="12" t="s">
        <v>27</v>
      </c>
      <c r="J3" s="11" t="s">
        <v>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3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9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2" t="s">
        <v>14</v>
      </c>
    </row>
    <row r="2" spans="1:10">
      <c r="A2" t="s">
        <v>22</v>
      </c>
      <c r="B2" t="s">
        <v>23</v>
      </c>
      <c r="C2" t="s">
        <v>24</v>
      </c>
      <c r="D2" t="s">
        <v>25</v>
      </c>
      <c r="E2" t="s">
        <v>26</v>
      </c>
      <c r="F2" s="9">
        <v>1842</v>
      </c>
      <c r="G2" s="9">
        <v>1842</v>
      </c>
      <c r="H2" s="9">
        <v>1842</v>
      </c>
      <c r="I2" s="9">
        <v>1842</v>
      </c>
      <c r="J2">
        <v>8543500</v>
      </c>
    </row>
    <row r="3" spans="1:10">
      <c r="A3" s="11" t="s">
        <v>27</v>
      </c>
      <c r="B3" s="11" t="s">
        <v>27</v>
      </c>
      <c r="C3" s="11" t="s">
        <v>27</v>
      </c>
      <c r="D3" s="11" t="s">
        <v>27</v>
      </c>
      <c r="E3" s="11" t="s">
        <v>27</v>
      </c>
      <c r="F3" s="12" t="s">
        <v>27</v>
      </c>
      <c r="G3" s="12" t="s">
        <v>27</v>
      </c>
      <c r="H3" s="12" t="s">
        <v>27</v>
      </c>
      <c r="I3" s="12" t="s">
        <v>27</v>
      </c>
      <c r="J3" s="11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ティック</vt:lpstr>
      <vt:lpstr>１分足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2024-12-11T21:07:12Z</dcterms:modified>
</cp:coreProperties>
</file>